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g\OneDrive\Desktop\"/>
    </mc:Choice>
  </mc:AlternateContent>
  <xr:revisionPtr revIDLastSave="0" documentId="8_{A1779A92-E1BC-4D1B-ABD9-CAEBBA98D670}" xr6:coauthVersionLast="47" xr6:coauthVersionMax="47" xr10:uidLastSave="{00000000-0000-0000-0000-000000000000}"/>
  <bookViews>
    <workbookView xWindow="-110" yWindow="-110" windowWidth="19420" windowHeight="11500" activeTab="7" xr2:uid="{2D5E48BB-8C9D-42B8-BFE8-8F72BB4BBC9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8" l="1"/>
  <c r="D6" i="8"/>
  <c r="C14" i="8"/>
  <c r="D5" i="8"/>
  <c r="D24" i="7"/>
  <c r="D25" i="7"/>
  <c r="D23" i="7"/>
  <c r="D18" i="7"/>
  <c r="G14" i="7"/>
  <c r="G10" i="7"/>
  <c r="G6" i="7"/>
  <c r="D26" i="6"/>
  <c r="D21" i="6"/>
  <c r="D17" i="6"/>
  <c r="D12" i="6"/>
  <c r="D7" i="6"/>
  <c r="B4" i="4"/>
</calcChain>
</file>

<file path=xl/sharedStrings.xml><?xml version="1.0" encoding="utf-8"?>
<sst xmlns="http://schemas.openxmlformats.org/spreadsheetml/2006/main" count="223" uniqueCount="161">
  <si>
    <t>Question :- What is data cleaning, and why is it important in data analysis?</t>
  </si>
  <si>
    <r>
      <rPr>
        <b/>
        <sz val="12"/>
        <color rgb="FFFF0000"/>
        <rFont val="Calibri"/>
        <family val="2"/>
        <scheme val="minor"/>
      </rPr>
      <t>Solution :-</t>
    </r>
    <r>
      <rPr>
        <sz val="11"/>
        <color theme="1"/>
        <rFont val="Calibri"/>
        <family val="2"/>
        <scheme val="minor"/>
      </rPr>
      <t xml:space="preserve"> Data cleaning is arguably the most vital step in the data analysis process, ensuring that subsequent analyses yield accurate, meaningful, and credible results .</t>
    </r>
  </si>
  <si>
    <t>Its important because :-</t>
  </si>
  <si>
    <t>1. Reduces Risk and Cost</t>
  </si>
  <si>
    <t>2. Boosts Credibility</t>
  </si>
  <si>
    <t>3. Increases Efficiency</t>
  </si>
  <si>
    <t>4. Enhances Decision Making</t>
  </si>
  <si>
    <t>Question :- What are the potential consequences of analyzing unclean or messy data?</t>
  </si>
  <si>
    <r>
      <rPr>
        <b/>
        <sz val="12"/>
        <color rgb="FFFF0000"/>
        <rFont val="Calibri"/>
        <family val="2"/>
        <scheme val="minor"/>
      </rPr>
      <t>Solution :-</t>
    </r>
    <r>
      <rPr>
        <sz val="11"/>
        <color theme="1"/>
        <rFont val="Calibri"/>
        <family val="2"/>
        <scheme val="minor"/>
      </rPr>
      <t xml:space="preserve"> Analyzing unclean data leads to major problems because "garbage in results in garbage out." The primary consequences include:</t>
    </r>
  </si>
  <si>
    <t>1. Bad Decisions: Making incorrect strategic choices based on faulty analysis.</t>
  </si>
  <si>
    <t>2. Legal Trouble: Risks of non-compliance with data regulations and potential fines.</t>
  </si>
  <si>
    <t>3. Damaged Reputation: Poor customer service and loss of trust due to inaccurate information.</t>
  </si>
  <si>
    <t>4. Operational Errors: Disruptions in workflows and wasted time fixing errors manually.</t>
  </si>
  <si>
    <t>5. Wasted Money: Direct financial losses from errors, inefficiencies, and poor targeting.</t>
  </si>
  <si>
    <t>Question :- Explain the common steps involved in cleaning and organizing data?</t>
  </si>
  <si>
    <r>
      <rPr>
        <b/>
        <sz val="12"/>
        <color rgb="FFFF0000"/>
        <rFont val="Calibri"/>
        <family val="2"/>
        <scheme val="minor"/>
      </rPr>
      <t xml:space="preserve">Solution :- </t>
    </r>
    <r>
      <rPr>
        <sz val="11"/>
        <color theme="1"/>
        <rFont val="Calibri"/>
        <family val="2"/>
        <scheme val="minor"/>
      </rPr>
      <t>The common steps for cleaning and organizing data (data preprocessing) are:</t>
    </r>
  </si>
  <si>
    <t xml:space="preserve">1. Assessment and Profiling </t>
  </si>
  <si>
    <t>Identify Issues: Find missing values, inconsistent formats, and incorrect data types.</t>
  </si>
  <si>
    <t xml:space="preserve">2. Handling Missing Values </t>
  </si>
  <si>
    <r>
      <rPr>
        <b/>
        <sz val="12"/>
        <color theme="1"/>
        <rFont val="Calibri"/>
        <family val="2"/>
        <scheme val="minor"/>
      </rPr>
      <t xml:space="preserve">Imputation :- </t>
    </r>
    <r>
      <rPr>
        <sz val="11"/>
        <color theme="1"/>
        <rFont val="Calibri"/>
        <family val="2"/>
        <scheme val="minor"/>
      </rPr>
      <t xml:space="preserve"> Fill in missing data using methods like mean, median, or mode.</t>
    </r>
  </si>
  <si>
    <r>
      <rPr>
        <b/>
        <sz val="12"/>
        <color theme="1"/>
        <rFont val="Calibri"/>
        <family val="2"/>
        <scheme val="minor"/>
      </rPr>
      <t>Deletion :-</t>
    </r>
    <r>
      <rPr>
        <sz val="11"/>
        <color theme="1"/>
        <rFont val="Calibri"/>
        <family val="2"/>
        <scheme val="minor"/>
      </rPr>
      <t xml:space="preserve"> Remove rows or columns if a small amount of data is missing or a column is mostly empty.</t>
    </r>
  </si>
  <si>
    <t xml:space="preserve">3. Standardization and Correction </t>
  </si>
  <si>
    <r>
      <rPr>
        <b/>
        <sz val="12"/>
        <color theme="1"/>
        <rFont val="Calibri"/>
        <family val="2"/>
        <scheme val="minor"/>
      </rPr>
      <t>Fix Structural Errors :-</t>
    </r>
    <r>
      <rPr>
        <sz val="11"/>
        <color theme="1"/>
        <rFont val="Calibri"/>
        <family val="2"/>
        <scheme val="minor"/>
      </rPr>
      <t xml:space="preserve"> Correct inconsistent entries (e.g., "NY" vs "New York").</t>
    </r>
  </si>
  <si>
    <r>
      <rPr>
        <b/>
        <sz val="12"/>
        <color theme="1"/>
        <rFont val="Calibri"/>
        <family val="2"/>
        <scheme val="minor"/>
      </rPr>
      <t>Remove Duplicates :-</t>
    </r>
    <r>
      <rPr>
        <sz val="11"/>
        <color theme="1"/>
        <rFont val="Calibri"/>
        <family val="2"/>
        <scheme val="minor"/>
      </rPr>
      <t xml:space="preserve"> Eliminate redundant records.</t>
    </r>
  </si>
  <si>
    <r>
      <rPr>
        <b/>
        <sz val="11"/>
        <color theme="1"/>
        <rFont val="Calibri"/>
        <family val="2"/>
        <scheme val="minor"/>
      </rPr>
      <t>Convert Data Types :-</t>
    </r>
    <r>
      <rPr>
        <sz val="11"/>
        <color theme="1"/>
        <rFont val="Calibri"/>
        <family val="2"/>
        <scheme val="minor"/>
      </rPr>
      <t xml:space="preserve"> Ensure all columns have the correct format (e.g., converting text to numeric).</t>
    </r>
  </si>
  <si>
    <t xml:space="preserve">4. Handling Outliers </t>
  </si>
  <si>
    <t>Identify and Decide: Find extreme values and either remove them (if errors) or transform them (if meaningful).</t>
  </si>
  <si>
    <t xml:space="preserve">5. Transformation and Validation </t>
  </si>
  <si>
    <r>
      <rPr>
        <b/>
        <sz val="11"/>
        <color theme="1"/>
        <rFont val="Calibri"/>
        <family val="2"/>
        <scheme val="minor"/>
      </rPr>
      <t>Encoding :-</t>
    </r>
    <r>
      <rPr>
        <sz val="11"/>
        <color theme="1"/>
        <rFont val="Calibri"/>
        <family val="2"/>
        <scheme val="minor"/>
      </rPr>
      <t xml:space="preserve"> Convert text categories into numbers (e.g., One-Hot Encoding).</t>
    </r>
  </si>
  <si>
    <r>
      <rPr>
        <b/>
        <sz val="11"/>
        <color theme="1"/>
        <rFont val="Calibri"/>
        <family val="2"/>
        <scheme val="minor"/>
      </rPr>
      <t>Scaling/Normalization :-</t>
    </r>
    <r>
      <rPr>
        <sz val="11"/>
        <color theme="1"/>
        <rFont val="Calibri"/>
        <family val="2"/>
        <scheme val="minor"/>
      </rPr>
      <t xml:space="preserve"> Adjust numerical values to a standard range.</t>
    </r>
  </si>
  <si>
    <r>
      <rPr>
        <b/>
        <sz val="11"/>
        <color theme="1"/>
        <rFont val="Calibri"/>
        <family val="2"/>
        <scheme val="minor"/>
      </rPr>
      <t>Validate :-</t>
    </r>
    <r>
      <rPr>
        <sz val="11"/>
        <color theme="1"/>
        <rFont val="Calibri"/>
        <family val="2"/>
        <scheme val="minor"/>
      </rPr>
      <t xml:space="preserve"> Perform a final quality check before analysis.</t>
    </r>
  </si>
  <si>
    <r>
      <rPr>
        <b/>
        <sz val="14"/>
        <color theme="1"/>
        <rFont val="Calibri"/>
        <family val="2"/>
        <scheme val="minor"/>
      </rPr>
      <t>Question :-How would you sort the following dataset first by "Department" (A-Z) and then by "Salary" (Largest to Smallest)? Write a step-by-step approach</t>
    </r>
    <r>
      <rPr>
        <sz val="11"/>
        <color theme="1"/>
        <rFont val="Calibri"/>
        <family val="2"/>
        <scheme val="minor"/>
      </rPr>
      <t>.</t>
    </r>
  </si>
  <si>
    <t>Solution :-</t>
  </si>
  <si>
    <r>
      <t>Solution :-</t>
    </r>
    <r>
      <rPr>
        <sz val="12"/>
        <rFont val="Calibri"/>
        <family val="2"/>
        <scheme val="minor"/>
      </rPr>
      <t>This sorting task requires a two-level sort or multi-level sort. The primary sorting key is "Department," and the secondary sorting key is "Salary."</t>
    </r>
  </si>
  <si>
    <t>Here is the step-by-step approach to sort the given dataset:</t>
  </si>
  <si>
    <t>Step-by-Step Sorting Approach</t>
  </si>
  <si>
    <t>1. Identify Sorting Keys and Order</t>
  </si>
  <si>
    <r>
      <rPr>
        <b/>
        <sz val="12"/>
        <color theme="1"/>
        <rFont val="Calibri"/>
        <family val="2"/>
        <scheme val="minor"/>
      </rPr>
      <t>Secondary Key :-</t>
    </r>
    <r>
      <rPr>
        <sz val="11"/>
        <color theme="1"/>
        <rFont val="Calibri"/>
        <family val="2"/>
        <scheme val="minor"/>
      </rPr>
      <t xml:space="preserve"> The second column to sort by is </t>
    </r>
    <r>
      <rPr>
        <b/>
        <sz val="12"/>
        <color theme="1"/>
        <rFont val="Calibri"/>
        <family val="2"/>
        <scheme val="minor"/>
      </rPr>
      <t>"Salary"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2"/>
        <color theme="1"/>
        <rFont val="Calibri"/>
        <family val="2"/>
        <scheme val="minor"/>
      </rPr>
      <t>Largest to Smallest</t>
    </r>
    <r>
      <rPr>
        <sz val="11"/>
        <color theme="1"/>
        <rFont val="Calibri"/>
        <family val="2"/>
        <scheme val="minor"/>
      </rPr>
      <t xml:space="preserve"> order (descending).</t>
    </r>
  </si>
  <si>
    <r>
      <rPr>
        <b/>
        <sz val="12"/>
        <color theme="1"/>
        <rFont val="Calibri"/>
        <family val="2"/>
        <scheme val="minor"/>
      </rPr>
      <t>Primary Key :-</t>
    </r>
    <r>
      <rPr>
        <sz val="11"/>
        <color theme="1"/>
        <rFont val="Calibri"/>
        <family val="2"/>
        <scheme val="minor"/>
      </rPr>
      <t xml:space="preserve"> The first column to sort by is </t>
    </r>
    <r>
      <rPr>
        <b/>
        <sz val="12"/>
        <color theme="1"/>
        <rFont val="Calibri"/>
        <family val="2"/>
        <scheme val="minor"/>
      </rPr>
      <t>"Department"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2"/>
        <color theme="1"/>
        <rFont val="Calibri"/>
        <family val="2"/>
        <scheme val="minor"/>
      </rPr>
      <t>Alphabetical (A-Z)</t>
    </r>
    <r>
      <rPr>
        <sz val="11"/>
        <color theme="1"/>
        <rFont val="Calibri"/>
        <family val="2"/>
        <scheme val="minor"/>
      </rPr>
      <t xml:space="preserve"> order (ascending).</t>
    </r>
  </si>
  <si>
    <t>2. Primary Sort (Department A-Z)</t>
  </si>
  <si>
    <t>Apply the primary sort to group all rows by Department alphabetically :</t>
  </si>
  <si>
    <t xml:space="preserve">Employee </t>
  </si>
  <si>
    <t>Department</t>
  </si>
  <si>
    <t>Salary</t>
  </si>
  <si>
    <t>Pranav</t>
  </si>
  <si>
    <t>Sonu</t>
  </si>
  <si>
    <t>Rahul</t>
  </si>
  <si>
    <t>IT</t>
  </si>
  <si>
    <t>HR</t>
  </si>
  <si>
    <r>
      <rPr>
        <b/>
        <sz val="11"/>
        <color theme="1"/>
        <rFont val="Calibri"/>
        <family val="2"/>
        <scheme val="minor"/>
      </rPr>
      <t>Observation :-</t>
    </r>
    <r>
      <rPr>
        <sz val="11"/>
        <color theme="1"/>
        <rFont val="Calibri"/>
        <family val="2"/>
        <scheme val="minor"/>
      </rPr>
      <t xml:space="preserve"> "HR" comes before "IT" alphabetically, so the row for Pranav moves to the top. The "IT" rows remain together.</t>
    </r>
  </si>
  <si>
    <t>3. Secondary Sort (Salary Largest to Smallest)</t>
  </si>
  <si>
    <t>Apply the secondary sort only within the groups created by the primary sort:</t>
  </si>
  <si>
    <t>The final sorted dataset will look like this:</t>
  </si>
  <si>
    <t>Employee</t>
  </si>
  <si>
    <t>Summary of the Final Order</t>
  </si>
  <si>
    <r>
      <rPr>
        <b/>
        <sz val="12"/>
        <color theme="1"/>
        <rFont val="Calibri"/>
        <family val="2"/>
        <scheme val="minor"/>
      </rPr>
      <t>Group 1 (HR) :-</t>
    </r>
    <r>
      <rPr>
        <sz val="11"/>
        <color theme="1"/>
        <rFont val="Calibri"/>
        <family val="2"/>
        <scheme val="minor"/>
      </rPr>
      <t xml:space="preserve"> There is only one entry (Pranav, 5000), so no internal sort is needed.</t>
    </r>
  </si>
  <si>
    <r>
      <rPr>
        <b/>
        <sz val="11"/>
        <color theme="1"/>
        <rFont val="Calibri"/>
        <family val="2"/>
        <scheme val="minor"/>
      </rPr>
      <t>Group 2 (IT) :-</t>
    </r>
    <r>
      <rPr>
        <sz val="11"/>
        <color theme="1"/>
        <rFont val="Calibri"/>
        <family val="2"/>
        <scheme val="minor"/>
      </rPr>
      <t xml:space="preserve"> Compare the salaries for the two "IT" employees (Sonu: 4000, Rahul: 2500). Sort these from largest to smallest.</t>
    </r>
  </si>
  <si>
    <r>
      <rPr>
        <b/>
        <sz val="12"/>
        <color theme="1"/>
        <rFont val="Calibri"/>
        <family val="2"/>
        <scheme val="minor"/>
      </rPr>
      <t>1. HR</t>
    </r>
    <r>
      <rPr>
        <sz val="11"/>
        <color theme="1"/>
        <rFont val="Calibri"/>
        <family val="2"/>
        <scheme val="minor"/>
      </rPr>
      <t xml:space="preserve"> (Pranav: 5000)</t>
    </r>
  </si>
  <si>
    <r>
      <rPr>
        <b/>
        <sz val="12"/>
        <color theme="1"/>
        <rFont val="Calibri"/>
        <family val="2"/>
        <scheme val="minor"/>
      </rPr>
      <t>2. IT</t>
    </r>
    <r>
      <rPr>
        <sz val="11"/>
        <color theme="1"/>
        <rFont val="Calibri"/>
        <family val="2"/>
        <scheme val="minor"/>
      </rPr>
      <t xml:space="preserve"> (Sonu: 4000)</t>
    </r>
  </si>
  <si>
    <r>
      <rPr>
        <b/>
        <sz val="12"/>
        <color theme="1"/>
        <rFont val="Calibri"/>
        <family val="2"/>
        <scheme val="minor"/>
      </rPr>
      <t>3. IT</t>
    </r>
    <r>
      <rPr>
        <sz val="11"/>
        <color theme="1"/>
        <rFont val="Calibri"/>
        <family val="2"/>
        <scheme val="minor"/>
      </rPr>
      <t xml:space="preserve"> (Rahul: 2500)</t>
    </r>
  </si>
  <si>
    <t>Question :- Explain the use of text functions such as TRIM , LEFT, RIGHT, MID, and CONCAT in data cleaning.?</t>
  </si>
  <si>
    <t>1. TRIM</t>
  </si>
  <si>
    <t>Remove extra spaces from text (keeps only single spaces between words).</t>
  </si>
  <si>
    <t>Useful for cleaning messy data copied from external sources.</t>
  </si>
  <si>
    <t>2. LEFT (text, n)</t>
  </si>
  <si>
    <t>Extracts the first n characters from a text string.</t>
  </si>
  <si>
    <t>Used when you need fixed parts likes codes, prefixers, or dates.</t>
  </si>
  <si>
    <t>3. RIGHT (text, n)</t>
  </si>
  <si>
    <t>Extracts the last n characters from tet.</t>
  </si>
  <si>
    <t>Helpful for things like last digits of IDs, phone numbers, or product codes.</t>
  </si>
  <si>
    <t>4. MID (text, start, n)</t>
  </si>
  <si>
    <t>Extracts text from the middle, starting at a specific position.</t>
  </si>
  <si>
    <t>Useful for pulling out specific segment (e.g., middle dogits in codes).</t>
  </si>
  <si>
    <t>5. CONCAT / CONCATENATE</t>
  </si>
  <si>
    <t>Joins two or more text string into one.</t>
  </si>
  <si>
    <t>Used for combining names, codes, or creating new formatted fields.</t>
  </si>
  <si>
    <t>Question :- What is the role of data functions like TODAY in managing datasets .</t>
  </si>
  <si>
    <r>
      <rPr>
        <b/>
        <sz val="12"/>
        <color rgb="FFC00000"/>
        <rFont val="Calibri"/>
        <family val="2"/>
        <scheme val="minor"/>
      </rPr>
      <t xml:space="preserve">Solution :- </t>
    </r>
    <r>
      <rPr>
        <sz val="12"/>
        <color theme="1"/>
        <rFont val="Calibri"/>
        <family val="2"/>
        <scheme val="minor"/>
      </rPr>
      <t>It provide today"s Date.</t>
    </r>
  </si>
  <si>
    <t>Apply Data Validation to restrict Quantity values to only whole number between 1 and 10.</t>
  </si>
  <si>
    <t>Customer Name</t>
  </si>
  <si>
    <t>Jane Smith</t>
  </si>
  <si>
    <t>Isabella Moore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</si>
  <si>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</si>
  <si>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</si>
  <si>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</si>
  <si>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</si>
  <si>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</si>
  <si>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</si>
  <si>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</si>
  <si>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Product Name</t>
  </si>
  <si>
    <t>Shoes</t>
  </si>
  <si>
    <t>Laptop</t>
  </si>
  <si>
    <t>Sofa</t>
  </si>
  <si>
    <t>Table Lamp</t>
  </si>
  <si>
    <t>Backpack</t>
  </si>
  <si>
    <t>Headphones</t>
  </si>
  <si>
    <t>T-Shirt</t>
  </si>
  <si>
    <t>Category</t>
  </si>
  <si>
    <t>Electronics</t>
  </si>
  <si>
    <t>Clothing</t>
  </si>
  <si>
    <t>Home Décor</t>
  </si>
  <si>
    <t>Quantity</t>
  </si>
  <si>
    <t>Unit Price ($)</t>
  </si>
  <si>
    <t>Set up an error alert message that triggers if the user enters a number less than 1 or greater than 10, showing:  "Invalid input! The quantity must be a whole number between number 1 and 10."</t>
  </si>
  <si>
    <t>Configure an input message that appears when a user selects a cell in the "Quantity" column explaining:  "Please enter a whole number between 1 and 10.</t>
  </si>
  <si>
    <t>SOLUTION :- A</t>
  </si>
  <si>
    <t>SOLUTION :- B</t>
  </si>
  <si>
    <t>bella Moore</t>
  </si>
  <si>
    <t>Home Decore</t>
  </si>
  <si>
    <t>Understand and apply fundamental text functions like LEFT, RIGHT, MID, and LEN</t>
  </si>
  <si>
    <t>Extract the first 5 characters from the string "ExcelTipsAreGreat" using thr LEFT function.</t>
  </si>
  <si>
    <t>ExcelTipsAreGreat</t>
  </si>
  <si>
    <t>Extract the last 4 characters from "DataAnalysis.xlsx" using the RIGHT function.</t>
  </si>
  <si>
    <t>Solution:-</t>
  </si>
  <si>
    <t>DataAnalysis.Xlsx</t>
  </si>
  <si>
    <t>Extract the substring "Tips" from "ExcelTipsAreGreat" using the MID function.</t>
  </si>
  <si>
    <t>Count the total number of characters in the string "hello World!" using the LEN function.</t>
  </si>
  <si>
    <t>Hello World!</t>
  </si>
  <si>
    <t>Create a formula to extract the middle 6 characters from "12345-67890-ABCDE"</t>
  </si>
  <si>
    <t>12345-67890-ABCDE</t>
  </si>
  <si>
    <t>A</t>
  </si>
  <si>
    <t>B</t>
  </si>
  <si>
    <t>C</t>
  </si>
  <si>
    <t>D</t>
  </si>
  <si>
    <t>E</t>
  </si>
  <si>
    <t>Understand how to combine tet using CONCAT, TETJOIN, and The &amp; operator.</t>
  </si>
  <si>
    <t>Use CONCAT to combine "Hello" and "World" with a space in between.</t>
  </si>
  <si>
    <t>HELLO</t>
  </si>
  <si>
    <t>WORLD</t>
  </si>
  <si>
    <t>Combine "Apple", "Banana", and "Cherr" into a single string separated by commas using TEXTJOIN.</t>
  </si>
  <si>
    <t>APPLE</t>
  </si>
  <si>
    <t>BANANA</t>
  </si>
  <si>
    <t>CHERRY</t>
  </si>
  <si>
    <t xml:space="preserve">Use the &amp; operator to create the string "2025: Excel Functions' by combining "2025",":", and "Excel Functions. </t>
  </si>
  <si>
    <t>Create a comma-separated list from the range A1:A5 using TEXTJOIN</t>
  </si>
  <si>
    <t>A1:A5</t>
  </si>
  <si>
    <t>Combine first names in Column A with last Names in column B to create Full Names in column C.</t>
  </si>
  <si>
    <t>COLUMN A</t>
  </si>
  <si>
    <t>SALMAN</t>
  </si>
  <si>
    <t>HRITIK</t>
  </si>
  <si>
    <t>MS</t>
  </si>
  <si>
    <t>DHONI</t>
  </si>
  <si>
    <t>ROSHAN</t>
  </si>
  <si>
    <t>KHAN</t>
  </si>
  <si>
    <t>COLUMN B</t>
  </si>
  <si>
    <t>COLUMN C</t>
  </si>
  <si>
    <t>Understanding TODAY() and NOW()</t>
  </si>
  <si>
    <t>What is the difference between Today() and NOW() in excel ? Provide an example of when you use  each function.</t>
  </si>
  <si>
    <t>NOW-</t>
  </si>
  <si>
    <t>TODAY-</t>
  </si>
  <si>
    <t>IT PROVIDE TODAY'S DATE</t>
  </si>
  <si>
    <t>IT PROVIDE TODAY'S DATE AND TIME</t>
  </si>
  <si>
    <t>If cell A1 Contains the date 2025-06-10, write a formula using TODAY() to determine how many days are left  until the date.</t>
  </si>
  <si>
    <t>Write an excel formula using NOW() to display the current date and time in the format MM/DD/YYYY HH:MM AM/Pm.</t>
  </si>
  <si>
    <t>If a cell contains = TODAY), what will happenwhen the worksheet is reopened the next day ? Explain</t>
  </si>
  <si>
    <t>Today: 2025-06-10 → cell shows 2025-06-10</t>
  </si>
  <si>
    <t>Tomorrow you reopen the file: cell shows 2025-06-11</t>
  </si>
  <si>
    <t>Because =TODAY() is a dynamic function, it refreshes every time the worksheet is opened or recalculated.</t>
  </si>
  <si>
    <t>You want to store a static data (today's date) in a cell without it changing every day. What keyboard shortcut should you use ?</t>
  </si>
  <si>
    <t>Ctrl +;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</si>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</sst>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6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0" fillId="0" borderId="0" xfId="0" applyNumberFormat="1"/>
    <xf numFmtId="0" fontId="11" fillId="0" borderId="0" xfId="0" applyFont="1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CEA1-FDA3-4E4C-87C5-A0906443A0ED}">
  <dimension ref="A1:B47"/>
  <sheetViews>
    <sheetView topLeftCell="A24" workbookViewId="0">
      <selection activeCell="I34" sqref="I34"/>
    </sheetView>
  </sheetViews>
  <sheetFormatPr defaultRowHeight="14.5" x14ac:dyDescent="0.35"/>
  <sheetData>
    <row r="1" spans="1:2" ht="18.5" x14ac:dyDescent="0.45">
      <c r="A1" s="1" t="s">
        <v>0</v>
      </c>
    </row>
    <row r="2" spans="1:2" ht="15.5" x14ac:dyDescent="0.35">
      <c r="A2" t="s">
        <v>1</v>
      </c>
    </row>
    <row r="3" spans="1:2" x14ac:dyDescent="0.35">
      <c r="B3" t="s">
        <v>2</v>
      </c>
    </row>
    <row r="4" spans="1:2" ht="15.5" x14ac:dyDescent="0.35">
      <c r="B4" s="2" t="s">
        <v>3</v>
      </c>
    </row>
    <row r="5" spans="1:2" ht="15.5" x14ac:dyDescent="0.35">
      <c r="B5" s="2" t="s">
        <v>4</v>
      </c>
    </row>
    <row r="6" spans="1:2" ht="15.5" x14ac:dyDescent="0.35">
      <c r="B6" s="2" t="s">
        <v>5</v>
      </c>
    </row>
    <row r="7" spans="1:2" ht="15.5" x14ac:dyDescent="0.35">
      <c r="B7" s="2" t="s">
        <v>6</v>
      </c>
    </row>
    <row r="9" spans="1:2" ht="18.5" x14ac:dyDescent="0.45">
      <c r="A9" s="1" t="s">
        <v>7</v>
      </c>
    </row>
    <row r="10" spans="1:2" ht="15.5" x14ac:dyDescent="0.35">
      <c r="A10" t="s">
        <v>8</v>
      </c>
    </row>
    <row r="12" spans="1:2" x14ac:dyDescent="0.35">
      <c r="B12" s="3" t="s">
        <v>9</v>
      </c>
    </row>
    <row r="13" spans="1:2" ht="15.5" x14ac:dyDescent="0.35">
      <c r="B13" s="2" t="s">
        <v>10</v>
      </c>
    </row>
    <row r="14" spans="1:2" ht="15.5" x14ac:dyDescent="0.35">
      <c r="B14" s="2" t="s">
        <v>11</v>
      </c>
    </row>
    <row r="15" spans="1:2" ht="15.5" x14ac:dyDescent="0.35">
      <c r="B15" s="2" t="s">
        <v>12</v>
      </c>
    </row>
    <row r="16" spans="1:2" ht="15.5" x14ac:dyDescent="0.35">
      <c r="B16" s="2" t="s">
        <v>13</v>
      </c>
    </row>
    <row r="18" spans="1:2" ht="15.5" x14ac:dyDescent="0.35">
      <c r="A18" s="2" t="s">
        <v>14</v>
      </c>
    </row>
    <row r="19" spans="1:2" ht="15.5" x14ac:dyDescent="0.35">
      <c r="A19" t="s">
        <v>15</v>
      </c>
    </row>
    <row r="20" spans="1:2" x14ac:dyDescent="0.35">
      <c r="B20" s="3" t="s">
        <v>16</v>
      </c>
    </row>
    <row r="21" spans="1:2" x14ac:dyDescent="0.35">
      <c r="B21" t="s">
        <v>17</v>
      </c>
    </row>
    <row r="23" spans="1:2" x14ac:dyDescent="0.35">
      <c r="B23" s="3" t="s">
        <v>18</v>
      </c>
    </row>
    <row r="25" spans="1:2" ht="15.5" x14ac:dyDescent="0.35">
      <c r="B25" t="s">
        <v>19</v>
      </c>
    </row>
    <row r="27" spans="1:2" ht="15.5" x14ac:dyDescent="0.35">
      <c r="B27" t="s">
        <v>20</v>
      </c>
    </row>
    <row r="29" spans="1:2" ht="15.5" x14ac:dyDescent="0.35">
      <c r="B29" s="2" t="s">
        <v>21</v>
      </c>
    </row>
    <row r="31" spans="1:2" ht="15.5" x14ac:dyDescent="0.35">
      <c r="B31" t="s">
        <v>22</v>
      </c>
    </row>
    <row r="33" spans="2:2" ht="15.5" x14ac:dyDescent="0.35">
      <c r="B33" t="s">
        <v>23</v>
      </c>
    </row>
    <row r="35" spans="2:2" x14ac:dyDescent="0.35">
      <c r="B35" t="s">
        <v>24</v>
      </c>
    </row>
    <row r="37" spans="2:2" ht="15.5" x14ac:dyDescent="0.35">
      <c r="B37" s="2" t="s">
        <v>25</v>
      </c>
    </row>
    <row r="39" spans="2:2" x14ac:dyDescent="0.35">
      <c r="B39" t="s">
        <v>26</v>
      </c>
    </row>
    <row r="41" spans="2:2" ht="15.5" x14ac:dyDescent="0.35">
      <c r="B41" s="2" t="s">
        <v>27</v>
      </c>
    </row>
    <row r="43" spans="2:2" x14ac:dyDescent="0.35">
      <c r="B43" t="s">
        <v>28</v>
      </c>
    </row>
    <row r="45" spans="2:2" x14ac:dyDescent="0.35">
      <c r="B45" t="s">
        <v>29</v>
      </c>
    </row>
    <row r="47" spans="2:2" x14ac:dyDescent="0.35">
      <c r="B47" t="s">
        <v>30</v>
      </c>
    </row>
  </sheetData>
  <pageMargins left="0.7" right="0.7" top="0.75" bottom="0.75" header="0.3" footer="0.3"/>
  <pageSetup paperSize="9" orientation="portrait" verticalDpi="0" r:id="rId1"/>
  <headerFooter>
    <oddFooter>&amp;C_x000D_&amp;1#&amp;"Aptos"&amp;10&amp;K000000 Mott MacDonald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1AA4-39D7-4CFC-9727-151DC536335D}">
  <dimension ref="A2:D47"/>
  <sheetViews>
    <sheetView topLeftCell="A24" workbookViewId="0">
      <selection activeCell="B47" sqref="B47"/>
    </sheetView>
  </sheetViews>
  <sheetFormatPr defaultRowHeight="14.5" x14ac:dyDescent="0.35"/>
  <cols>
    <col min="2" max="2" width="11.1796875" customWidth="1"/>
    <col min="3" max="3" width="12.54296875" customWidth="1"/>
  </cols>
  <sheetData>
    <row r="2" spans="1:2" ht="18.5" x14ac:dyDescent="0.45">
      <c r="A2" t="s">
        <v>31</v>
      </c>
      <c r="B2" s="1"/>
    </row>
    <row r="3" spans="1:2" ht="15.5" x14ac:dyDescent="0.35">
      <c r="A3" s="4" t="s">
        <v>33</v>
      </c>
    </row>
    <row r="5" spans="1:2" ht="15.5" x14ac:dyDescent="0.35">
      <c r="B5" s="5" t="s">
        <v>34</v>
      </c>
    </row>
    <row r="7" spans="1:2" ht="15.5" x14ac:dyDescent="0.35">
      <c r="B7" s="2" t="s">
        <v>35</v>
      </c>
    </row>
    <row r="9" spans="1:2" ht="15.5" x14ac:dyDescent="0.35">
      <c r="B9" s="6" t="s">
        <v>36</v>
      </c>
    </row>
    <row r="11" spans="1:2" ht="15.5" x14ac:dyDescent="0.35">
      <c r="B11" t="s">
        <v>38</v>
      </c>
    </row>
    <row r="13" spans="1:2" ht="15.5" x14ac:dyDescent="0.35">
      <c r="B13" t="s">
        <v>37</v>
      </c>
    </row>
    <row r="15" spans="1:2" ht="15.5" x14ac:dyDescent="0.35">
      <c r="B15" s="2" t="s">
        <v>39</v>
      </c>
    </row>
    <row r="17" spans="2:4" x14ac:dyDescent="0.35">
      <c r="B17" t="s">
        <v>40</v>
      </c>
    </row>
    <row r="18" spans="2:4" ht="15" thickBot="1" x14ac:dyDescent="0.4"/>
    <row r="19" spans="2:4" ht="16" thickBot="1" x14ac:dyDescent="0.4">
      <c r="B19" s="10" t="s">
        <v>41</v>
      </c>
      <c r="C19" s="11" t="s">
        <v>42</v>
      </c>
      <c r="D19" s="12" t="s">
        <v>43</v>
      </c>
    </row>
    <row r="20" spans="2:4" x14ac:dyDescent="0.35">
      <c r="B20" s="13" t="s">
        <v>44</v>
      </c>
      <c r="C20" s="9" t="s">
        <v>48</v>
      </c>
      <c r="D20" s="14">
        <v>5000</v>
      </c>
    </row>
    <row r="21" spans="2:4" x14ac:dyDescent="0.35">
      <c r="B21" s="15" t="s">
        <v>45</v>
      </c>
      <c r="C21" s="8" t="s">
        <v>47</v>
      </c>
      <c r="D21" s="16">
        <v>4000</v>
      </c>
    </row>
    <row r="22" spans="2:4" ht="15" thickBot="1" x14ac:dyDescent="0.4">
      <c r="B22" s="17" t="s">
        <v>46</v>
      </c>
      <c r="C22" s="18" t="s">
        <v>47</v>
      </c>
      <c r="D22" s="19">
        <v>2500</v>
      </c>
    </row>
    <row r="23" spans="2:4" x14ac:dyDescent="0.35">
      <c r="D23" s="7"/>
    </row>
    <row r="24" spans="2:4" x14ac:dyDescent="0.35">
      <c r="B24" t="s">
        <v>49</v>
      </c>
    </row>
    <row r="26" spans="2:4" ht="15.5" x14ac:dyDescent="0.35">
      <c r="B26" s="2" t="s">
        <v>50</v>
      </c>
    </row>
    <row r="28" spans="2:4" x14ac:dyDescent="0.35">
      <c r="B28" t="s">
        <v>51</v>
      </c>
    </row>
    <row r="30" spans="2:4" ht="15.5" x14ac:dyDescent="0.35">
      <c r="B30" t="s">
        <v>55</v>
      </c>
    </row>
    <row r="32" spans="2:4" x14ac:dyDescent="0.35">
      <c r="B32" t="s">
        <v>56</v>
      </c>
    </row>
    <row r="34" spans="2:4" x14ac:dyDescent="0.35">
      <c r="B34" t="s">
        <v>52</v>
      </c>
    </row>
    <row r="35" spans="2:4" ht="15" thickBot="1" x14ac:dyDescent="0.4"/>
    <row r="36" spans="2:4" ht="16" thickBot="1" x14ac:dyDescent="0.4">
      <c r="B36" s="20" t="s">
        <v>53</v>
      </c>
      <c r="C36" s="21" t="s">
        <v>42</v>
      </c>
      <c r="D36" s="22" t="s">
        <v>43</v>
      </c>
    </row>
    <row r="37" spans="2:4" x14ac:dyDescent="0.35">
      <c r="B37" s="23" t="s">
        <v>44</v>
      </c>
      <c r="C37" s="24" t="s">
        <v>48</v>
      </c>
      <c r="D37" s="25">
        <v>5000</v>
      </c>
    </row>
    <row r="38" spans="2:4" x14ac:dyDescent="0.35">
      <c r="B38" s="26" t="s">
        <v>45</v>
      </c>
      <c r="C38" t="s">
        <v>47</v>
      </c>
      <c r="D38" s="27">
        <v>4000</v>
      </c>
    </row>
    <row r="39" spans="2:4" ht="15" thickBot="1" x14ac:dyDescent="0.4">
      <c r="B39" s="28" t="s">
        <v>46</v>
      </c>
      <c r="C39" s="29" t="s">
        <v>47</v>
      </c>
      <c r="D39" s="30">
        <v>2500</v>
      </c>
    </row>
    <row r="41" spans="2:4" ht="18.5" x14ac:dyDescent="0.45">
      <c r="B41" s="1" t="s">
        <v>54</v>
      </c>
    </row>
    <row r="43" spans="2:4" ht="15.5" x14ac:dyDescent="0.35">
      <c r="B43" t="s">
        <v>57</v>
      </c>
    </row>
    <row r="45" spans="2:4" ht="15.5" x14ac:dyDescent="0.35">
      <c r="B45" t="s">
        <v>58</v>
      </c>
    </row>
    <row r="47" spans="2:4" ht="15.5" x14ac:dyDescent="0.35">
      <c r="B47" t="s">
        <v>59</v>
      </c>
    </row>
  </sheetData>
  <pageMargins left="0.7" right="0.7" top="0.75" bottom="0.75" header="0.3" footer="0.3"/>
  <pageSetup paperSize="9" orientation="portrait" verticalDpi="0" r:id="rId1"/>
  <headerFooter>
    <oddFooter>&amp;C_x000D_&amp;1#&amp;"Aptos"&amp;10&amp;K000000 Mott MacDonald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D515-631B-4432-95DD-1D76D6F32369}">
  <dimension ref="A1:B39"/>
  <sheetViews>
    <sheetView topLeftCell="A15" workbookViewId="0">
      <selection activeCell="B35" sqref="B35"/>
    </sheetView>
  </sheetViews>
  <sheetFormatPr defaultRowHeight="14.5" x14ac:dyDescent="0.35"/>
  <sheetData>
    <row r="1" spans="1:2" ht="18.5" x14ac:dyDescent="0.45">
      <c r="A1" s="1" t="s">
        <v>60</v>
      </c>
    </row>
    <row r="2" spans="1:2" ht="15.5" x14ac:dyDescent="0.35">
      <c r="A2" s="31" t="s">
        <v>32</v>
      </c>
    </row>
    <row r="3" spans="1:2" x14ac:dyDescent="0.35">
      <c r="B3" s="3" t="s">
        <v>61</v>
      </c>
    </row>
    <row r="5" spans="1:2" x14ac:dyDescent="0.35">
      <c r="B5" t="s">
        <v>62</v>
      </c>
    </row>
    <row r="7" spans="1:2" x14ac:dyDescent="0.35">
      <c r="B7" t="s">
        <v>63</v>
      </c>
    </row>
    <row r="11" spans="1:2" x14ac:dyDescent="0.35">
      <c r="B11" s="3" t="s">
        <v>64</v>
      </c>
    </row>
    <row r="13" spans="1:2" x14ac:dyDescent="0.35">
      <c r="B13" t="s">
        <v>65</v>
      </c>
    </row>
    <row r="15" spans="1:2" x14ac:dyDescent="0.35">
      <c r="B15" t="s">
        <v>66</v>
      </c>
    </row>
    <row r="19" spans="2:2" x14ac:dyDescent="0.35">
      <c r="B19" s="3" t="s">
        <v>67</v>
      </c>
    </row>
    <row r="21" spans="2:2" x14ac:dyDescent="0.35">
      <c r="B21" t="s">
        <v>68</v>
      </c>
    </row>
    <row r="23" spans="2:2" x14ac:dyDescent="0.35">
      <c r="B23" t="s">
        <v>69</v>
      </c>
    </row>
    <row r="27" spans="2:2" x14ac:dyDescent="0.35">
      <c r="B27" s="3" t="s">
        <v>70</v>
      </c>
    </row>
    <row r="29" spans="2:2" x14ac:dyDescent="0.35">
      <c r="B29" t="s">
        <v>71</v>
      </c>
    </row>
    <row r="31" spans="2:2" x14ac:dyDescent="0.35">
      <c r="B31" t="s">
        <v>72</v>
      </c>
    </row>
    <row r="35" spans="2:2" x14ac:dyDescent="0.35">
      <c r="B35" s="3" t="s">
        <v>73</v>
      </c>
    </row>
    <row r="37" spans="2:2" x14ac:dyDescent="0.35">
      <c r="B37" t="s">
        <v>74</v>
      </c>
    </row>
    <row r="39" spans="2:2" x14ac:dyDescent="0.35">
      <c r="B39" t="s">
        <v>75</v>
      </c>
    </row>
  </sheetData>
  <pageMargins left="0.7" right="0.7" top="0.75" bottom="0.75" header="0.3" footer="0.3"/>
  <pageSetup paperSize="9" orientation="portrait" verticalDpi="0" r:id="rId1"/>
  <headerFooter>
    <oddFooter>&amp;C_x000D_&amp;1#&amp;"Aptos"&amp;10&amp;K000000 Mott MacDonald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283E-282D-4563-B19E-801210BE7719}">
  <dimension ref="A1:B4"/>
  <sheetViews>
    <sheetView workbookViewId="0">
      <selection activeCell="B5" sqref="B5"/>
    </sheetView>
  </sheetViews>
  <sheetFormatPr defaultRowHeight="14.5" x14ac:dyDescent="0.35"/>
  <cols>
    <col min="2" max="2" width="10.08984375" bestFit="1" customWidth="1"/>
  </cols>
  <sheetData>
    <row r="1" spans="1:2" ht="18.5" x14ac:dyDescent="0.45">
      <c r="A1" s="32" t="s">
        <v>76</v>
      </c>
    </row>
    <row r="2" spans="1:2" ht="15.5" x14ac:dyDescent="0.35">
      <c r="A2" s="33" t="s">
        <v>77</v>
      </c>
    </row>
    <row r="4" spans="1:2" x14ac:dyDescent="0.35">
      <c r="B4" s="34">
        <f ca="1">TODAY()</f>
        <v>46009</v>
      </c>
    </row>
  </sheetData>
  <pageMargins left="0.7" right="0.7" top="0.75" bottom="0.75" header="0.3" footer="0.3"/>
  <pageSetup paperSize="9" orientation="portrait" verticalDpi="0" r:id="rId1"/>
  <headerFooter>
    <oddFooter>&amp;C_x000D_&amp;1#&amp;"Aptos"&amp;10&amp;K000000 Mott MacDonald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4C4B-FDD8-41CD-9084-904BF0C8E016}">
  <dimension ref="A1:F34"/>
  <sheetViews>
    <sheetView topLeftCell="A11" workbookViewId="0">
      <selection activeCell="F35" sqref="F35"/>
    </sheetView>
  </sheetViews>
  <sheetFormatPr defaultRowHeight="14.5" x14ac:dyDescent="0.35"/>
  <cols>
    <col min="2" max="2" width="14.81640625" bestFit="1" customWidth="1"/>
    <col min="3" max="3" width="12.26953125" customWidth="1"/>
    <col min="4" max="4" width="12.54296875" customWidth="1"/>
    <col min="6" max="6" width="11.36328125" customWidth="1"/>
  </cols>
  <sheetData>
    <row r="1" spans="1:6" ht="18.5" x14ac:dyDescent="0.45">
      <c r="A1" s="1" t="s">
        <v>78</v>
      </c>
    </row>
    <row r="3" spans="1:6" x14ac:dyDescent="0.35">
      <c r="A3" t="s">
        <v>104</v>
      </c>
    </row>
    <row r="7" spans="1:6" ht="15.5" x14ac:dyDescent="0.35">
      <c r="A7" s="2" t="s">
        <v>105</v>
      </c>
    </row>
    <row r="9" spans="1:6" x14ac:dyDescent="0.35">
      <c r="B9" t="s">
        <v>79</v>
      </c>
      <c r="C9" t="s">
        <v>89</v>
      </c>
      <c r="D9" t="s">
        <v>97</v>
      </c>
      <c r="E9" t="s">
        <v>101</v>
      </c>
      <c r="F9" t="s">
        <v>102</v>
      </c>
    </row>
    <row r="10" spans="1:6" x14ac:dyDescent="0.35">
      <c r="B10" t="s">
        <v>80</v>
      </c>
      <c r="C10" t="s">
        <v>90</v>
      </c>
      <c r="D10" t="s">
        <v>98</v>
      </c>
      <c r="E10">
        <v>2</v>
      </c>
      <c r="F10">
        <v>81</v>
      </c>
    </row>
    <row r="11" spans="1:6" x14ac:dyDescent="0.35">
      <c r="B11" t="s">
        <v>81</v>
      </c>
      <c r="C11" t="s">
        <v>91</v>
      </c>
      <c r="D11" t="s">
        <v>98</v>
      </c>
      <c r="E11">
        <v>5</v>
      </c>
      <c r="F11">
        <v>121</v>
      </c>
    </row>
    <row r="12" spans="1:6" x14ac:dyDescent="0.35">
      <c r="B12" t="s">
        <v>82</v>
      </c>
      <c r="C12" t="s">
        <v>92</v>
      </c>
      <c r="D12" t="s">
        <v>99</v>
      </c>
      <c r="E12">
        <v>6</v>
      </c>
      <c r="F12">
        <v>239</v>
      </c>
    </row>
    <row r="13" spans="1:6" x14ac:dyDescent="0.35">
      <c r="B13" t="s">
        <v>83</v>
      </c>
      <c r="C13" t="s">
        <v>90</v>
      </c>
      <c r="D13" t="s">
        <v>98</v>
      </c>
      <c r="E13">
        <v>4</v>
      </c>
      <c r="F13">
        <v>500</v>
      </c>
    </row>
    <row r="14" spans="1:6" x14ac:dyDescent="0.35">
      <c r="B14" t="s">
        <v>84</v>
      </c>
      <c r="C14" t="s">
        <v>93</v>
      </c>
      <c r="D14" t="s">
        <v>100</v>
      </c>
      <c r="E14">
        <v>8</v>
      </c>
      <c r="F14">
        <v>423</v>
      </c>
    </row>
    <row r="15" spans="1:6" x14ac:dyDescent="0.35">
      <c r="B15" t="s">
        <v>85</v>
      </c>
      <c r="C15" t="s">
        <v>94</v>
      </c>
      <c r="D15" t="s">
        <v>98</v>
      </c>
      <c r="E15">
        <v>7</v>
      </c>
      <c r="F15">
        <v>160</v>
      </c>
    </row>
    <row r="16" spans="1:6" x14ac:dyDescent="0.35">
      <c r="B16" t="s">
        <v>86</v>
      </c>
      <c r="C16" t="s">
        <v>95</v>
      </c>
      <c r="D16" t="s">
        <v>98</v>
      </c>
      <c r="E16">
        <v>9</v>
      </c>
      <c r="F16">
        <v>438</v>
      </c>
    </row>
    <row r="17" spans="1:6" x14ac:dyDescent="0.35">
      <c r="B17" t="s">
        <v>87</v>
      </c>
      <c r="C17" t="s">
        <v>95</v>
      </c>
      <c r="D17" t="s">
        <v>98</v>
      </c>
      <c r="E17">
        <v>3</v>
      </c>
      <c r="F17">
        <v>152</v>
      </c>
    </row>
    <row r="18" spans="1:6" x14ac:dyDescent="0.35">
      <c r="B18" t="s">
        <v>88</v>
      </c>
      <c r="C18" t="s">
        <v>96</v>
      </c>
      <c r="D18" t="s">
        <v>100</v>
      </c>
      <c r="E18">
        <v>4</v>
      </c>
      <c r="F18">
        <v>369</v>
      </c>
    </row>
    <row r="21" spans="1:6" x14ac:dyDescent="0.35">
      <c r="A21" t="s">
        <v>103</v>
      </c>
    </row>
    <row r="23" spans="1:6" ht="15.5" x14ac:dyDescent="0.35">
      <c r="A23" s="2" t="s">
        <v>106</v>
      </c>
    </row>
    <row r="25" spans="1:6" x14ac:dyDescent="0.35">
      <c r="B25" t="s">
        <v>79</v>
      </c>
      <c r="C25" t="s">
        <v>89</v>
      </c>
      <c r="D25" t="s">
        <v>97</v>
      </c>
      <c r="E25" t="s">
        <v>101</v>
      </c>
      <c r="F25" t="s">
        <v>102</v>
      </c>
    </row>
    <row r="26" spans="1:6" x14ac:dyDescent="0.35">
      <c r="B26" t="s">
        <v>80</v>
      </c>
      <c r="C26" t="s">
        <v>90</v>
      </c>
      <c r="D26" t="s">
        <v>98</v>
      </c>
      <c r="E26">
        <v>4</v>
      </c>
      <c r="F26">
        <v>81</v>
      </c>
    </row>
    <row r="27" spans="1:6" x14ac:dyDescent="0.35">
      <c r="B27" t="s">
        <v>107</v>
      </c>
      <c r="C27" t="s">
        <v>91</v>
      </c>
      <c r="D27" t="s">
        <v>98</v>
      </c>
      <c r="E27">
        <v>5</v>
      </c>
      <c r="F27">
        <v>121</v>
      </c>
    </row>
    <row r="28" spans="1:6" x14ac:dyDescent="0.35">
      <c r="B28" t="s">
        <v>82</v>
      </c>
      <c r="C28" t="s">
        <v>92</v>
      </c>
      <c r="D28" t="s">
        <v>99</v>
      </c>
      <c r="E28">
        <v>6</v>
      </c>
      <c r="F28">
        <v>239</v>
      </c>
    </row>
    <row r="29" spans="1:6" x14ac:dyDescent="0.35">
      <c r="B29" t="s">
        <v>83</v>
      </c>
      <c r="C29" t="s">
        <v>90</v>
      </c>
      <c r="D29" t="s">
        <v>98</v>
      </c>
      <c r="E29">
        <v>4</v>
      </c>
      <c r="F29">
        <v>500</v>
      </c>
    </row>
    <row r="30" spans="1:6" x14ac:dyDescent="0.35">
      <c r="B30" t="s">
        <v>84</v>
      </c>
      <c r="C30" t="s">
        <v>93</v>
      </c>
      <c r="D30" t="s">
        <v>108</v>
      </c>
      <c r="E30">
        <v>8</v>
      </c>
      <c r="F30">
        <v>423</v>
      </c>
    </row>
    <row r="31" spans="1:6" x14ac:dyDescent="0.35">
      <c r="B31" t="s">
        <v>85</v>
      </c>
      <c r="C31" t="s">
        <v>94</v>
      </c>
      <c r="D31" t="s">
        <v>98</v>
      </c>
      <c r="E31">
        <v>8</v>
      </c>
      <c r="F31">
        <v>160</v>
      </c>
    </row>
    <row r="32" spans="1:6" x14ac:dyDescent="0.35">
      <c r="B32" t="s">
        <v>86</v>
      </c>
      <c r="C32" t="s">
        <v>95</v>
      </c>
      <c r="D32" t="s">
        <v>98</v>
      </c>
      <c r="E32">
        <v>9</v>
      </c>
      <c r="F32">
        <v>438</v>
      </c>
    </row>
    <row r="33" spans="2:6" x14ac:dyDescent="0.35">
      <c r="B33" t="s">
        <v>87</v>
      </c>
      <c r="C33" t="s">
        <v>95</v>
      </c>
      <c r="D33" t="s">
        <v>98</v>
      </c>
      <c r="E33">
        <v>3</v>
      </c>
      <c r="F33">
        <v>152</v>
      </c>
    </row>
    <row r="34" spans="2:6" x14ac:dyDescent="0.35">
      <c r="B34" t="s">
        <v>88</v>
      </c>
      <c r="C34" t="s">
        <v>96</v>
      </c>
      <c r="D34" t="s">
        <v>108</v>
      </c>
      <c r="E34">
        <v>1</v>
      </c>
      <c r="F34">
        <v>369</v>
      </c>
    </row>
  </sheetData>
  <pageMargins left="0.7" right="0.7" top="0.75" bottom="0.75" header="0.3" footer="0.3"/>
  <headerFooter>
    <oddFooter>&amp;C_x000D_&amp;1#&amp;"Aptos"&amp;10&amp;K000000 Mott MacDonald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F57D-77D1-429A-8434-35C71088AF7F}">
  <dimension ref="A3:D26"/>
  <sheetViews>
    <sheetView topLeftCell="A4" workbookViewId="0">
      <selection activeCell="D27" sqref="D27"/>
    </sheetView>
  </sheetViews>
  <sheetFormatPr defaultRowHeight="14.5" x14ac:dyDescent="0.35"/>
  <cols>
    <col min="2" max="2" width="19.36328125" customWidth="1"/>
  </cols>
  <sheetData>
    <row r="3" spans="1:4" ht="18.5" x14ac:dyDescent="0.45">
      <c r="A3" s="1" t="s">
        <v>109</v>
      </c>
    </row>
    <row r="5" spans="1:4" x14ac:dyDescent="0.35">
      <c r="A5" t="s">
        <v>110</v>
      </c>
    </row>
    <row r="6" spans="1:4" x14ac:dyDescent="0.35">
      <c r="A6" s="3" t="s">
        <v>32</v>
      </c>
    </row>
    <row r="7" spans="1:4" x14ac:dyDescent="0.35">
      <c r="B7" t="s">
        <v>111</v>
      </c>
      <c r="D7" t="str">
        <f>+LEFT(B7,5)</f>
        <v>Excel</v>
      </c>
    </row>
    <row r="10" spans="1:4" x14ac:dyDescent="0.35">
      <c r="A10" t="s">
        <v>112</v>
      </c>
    </row>
    <row r="11" spans="1:4" x14ac:dyDescent="0.35">
      <c r="A11" s="3" t="s">
        <v>113</v>
      </c>
    </row>
    <row r="12" spans="1:4" x14ac:dyDescent="0.35">
      <c r="B12" t="s">
        <v>114</v>
      </c>
      <c r="D12" t="str">
        <f>RIGHT(B12,4)</f>
        <v>Xlsx</v>
      </c>
    </row>
    <row r="15" spans="1:4" x14ac:dyDescent="0.35">
      <c r="A15" t="s">
        <v>115</v>
      </c>
    </row>
    <row r="16" spans="1:4" x14ac:dyDescent="0.35">
      <c r="A16" s="3" t="s">
        <v>32</v>
      </c>
    </row>
    <row r="17" spans="1:4" x14ac:dyDescent="0.35">
      <c r="B17" t="s">
        <v>111</v>
      </c>
      <c r="D17" t="str">
        <f>MID(B17,6,4)</f>
        <v>Tips</v>
      </c>
    </row>
    <row r="19" spans="1:4" x14ac:dyDescent="0.35">
      <c r="A19" t="s">
        <v>116</v>
      </c>
    </row>
    <row r="20" spans="1:4" x14ac:dyDescent="0.35">
      <c r="A20" s="3" t="s">
        <v>32</v>
      </c>
    </row>
    <row r="21" spans="1:4" x14ac:dyDescent="0.35">
      <c r="B21" t="s">
        <v>117</v>
      </c>
      <c r="D21">
        <f>LEN(B21)</f>
        <v>12</v>
      </c>
    </row>
    <row r="24" spans="1:4" x14ac:dyDescent="0.35">
      <c r="A24" t="s">
        <v>118</v>
      </c>
    </row>
    <row r="25" spans="1:4" x14ac:dyDescent="0.35">
      <c r="A25" s="3" t="s">
        <v>113</v>
      </c>
    </row>
    <row r="26" spans="1:4" x14ac:dyDescent="0.35">
      <c r="B26" t="s">
        <v>119</v>
      </c>
      <c r="D26" t="str">
        <f>MID(B26,6,7)</f>
        <v>-67890-</v>
      </c>
    </row>
  </sheetData>
  <pageMargins left="0.7" right="0.7" top="0.75" bottom="0.75" header="0.3" footer="0.3"/>
  <headerFooter>
    <oddFooter>&amp;C_x000D_&amp;1#&amp;"Aptos"&amp;10&amp;K000000 Mott MacDonald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39B3-3F88-4ED4-98EE-8A133B5A7997}">
  <dimension ref="A1:G25"/>
  <sheetViews>
    <sheetView workbookViewId="0">
      <selection activeCell="G6" sqref="G6"/>
    </sheetView>
  </sheetViews>
  <sheetFormatPr defaultRowHeight="14.5" x14ac:dyDescent="0.35"/>
  <cols>
    <col min="2" max="2" width="10.7265625" customWidth="1"/>
    <col min="3" max="3" width="11" customWidth="1"/>
    <col min="4" max="4" width="12.81640625" customWidth="1"/>
    <col min="7" max="7" width="22.1796875" customWidth="1"/>
  </cols>
  <sheetData>
    <row r="1" spans="1:7" x14ac:dyDescent="0.35">
      <c r="A1" t="s">
        <v>120</v>
      </c>
    </row>
    <row r="2" spans="1:7" ht="18.5" x14ac:dyDescent="0.45">
      <c r="A2" t="s">
        <v>121</v>
      </c>
      <c r="B2" s="1" t="s">
        <v>125</v>
      </c>
    </row>
    <row r="3" spans="1:7" x14ac:dyDescent="0.35">
      <c r="A3" t="s">
        <v>122</v>
      </c>
    </row>
    <row r="4" spans="1:7" x14ac:dyDescent="0.35">
      <c r="A4" t="s">
        <v>123</v>
      </c>
      <c r="B4" t="s">
        <v>126</v>
      </c>
    </row>
    <row r="5" spans="1:7" x14ac:dyDescent="0.35">
      <c r="A5" t="s">
        <v>124</v>
      </c>
      <c r="B5" s="3" t="s">
        <v>113</v>
      </c>
    </row>
    <row r="6" spans="1:7" x14ac:dyDescent="0.35">
      <c r="C6" t="s">
        <v>127</v>
      </c>
      <c r="E6" t="s">
        <v>128</v>
      </c>
      <c r="G6" t="str">
        <f>_xlfn.CONCAT(C6,E6)</f>
        <v>HELLOWORLD</v>
      </c>
    </row>
    <row r="8" spans="1:7" x14ac:dyDescent="0.35">
      <c r="B8" t="s">
        <v>129</v>
      </c>
    </row>
    <row r="9" spans="1:7" x14ac:dyDescent="0.35">
      <c r="B9" s="3" t="s">
        <v>113</v>
      </c>
    </row>
    <row r="10" spans="1:7" x14ac:dyDescent="0.35">
      <c r="C10" t="s">
        <v>130</v>
      </c>
      <c r="D10" t="s">
        <v>131</v>
      </c>
      <c r="E10" t="s">
        <v>132</v>
      </c>
      <c r="G10" t="str">
        <f>_xlfn.TEXTJOIN(",",TRUE,C10,D10,E10)</f>
        <v>APPLE,BANANA,CHERRY</v>
      </c>
    </row>
    <row r="12" spans="1:7" x14ac:dyDescent="0.35">
      <c r="B12" t="s">
        <v>133</v>
      </c>
    </row>
    <row r="13" spans="1:7" x14ac:dyDescent="0.35">
      <c r="B13" s="3" t="s">
        <v>113</v>
      </c>
    </row>
    <row r="14" spans="1:7" x14ac:dyDescent="0.35">
      <c r="G14" t="str">
        <f>"2025" &amp; ": " &amp; "Excel Functions"</f>
        <v>2025: Excel Functions</v>
      </c>
    </row>
    <row r="16" spans="1:7" x14ac:dyDescent="0.35">
      <c r="B16" t="s">
        <v>134</v>
      </c>
    </row>
    <row r="17" spans="2:4" x14ac:dyDescent="0.35">
      <c r="B17" s="3" t="s">
        <v>113</v>
      </c>
      <c r="D17" t="s">
        <v>135</v>
      </c>
    </row>
    <row r="18" spans="2:4" x14ac:dyDescent="0.35">
      <c r="D18" t="str">
        <f>_xlfn.TEXTJOIN(",",TRUE,A1:A5)</f>
        <v>A,B,C,D,E</v>
      </c>
    </row>
    <row r="20" spans="2:4" x14ac:dyDescent="0.35">
      <c r="B20" t="s">
        <v>136</v>
      </c>
    </row>
    <row r="21" spans="2:4" x14ac:dyDescent="0.35">
      <c r="B21" s="3" t="s">
        <v>113</v>
      </c>
    </row>
    <row r="22" spans="2:4" x14ac:dyDescent="0.35">
      <c r="B22" t="s">
        <v>137</v>
      </c>
      <c r="C22" t="s">
        <v>144</v>
      </c>
      <c r="D22" t="s">
        <v>145</v>
      </c>
    </row>
    <row r="23" spans="2:4" x14ac:dyDescent="0.35">
      <c r="B23" t="s">
        <v>138</v>
      </c>
      <c r="C23" t="s">
        <v>143</v>
      </c>
      <c r="D23" t="str">
        <f>_xlfn.CONCAT($B23,"",$C23)</f>
        <v>SALMANKHAN</v>
      </c>
    </row>
    <row r="24" spans="2:4" x14ac:dyDescent="0.35">
      <c r="B24" t="s">
        <v>139</v>
      </c>
      <c r="C24" t="s">
        <v>142</v>
      </c>
      <c r="D24" t="str">
        <f t="shared" ref="D24:D25" si="0">_xlfn.CONCAT($B24,"",$C24)</f>
        <v>HRITIKROSHAN</v>
      </c>
    </row>
    <row r="25" spans="2:4" x14ac:dyDescent="0.35">
      <c r="B25" t="s">
        <v>140</v>
      </c>
      <c r="C25" t="s">
        <v>141</v>
      </c>
      <c r="D25" t="str">
        <f t="shared" si="0"/>
        <v>MSDHONI</v>
      </c>
    </row>
  </sheetData>
  <pageMargins left="0.7" right="0.7" top="0.75" bottom="0.75" header="0.3" footer="0.3"/>
  <headerFooter>
    <oddFooter>&amp;C_x000D_&amp;1#&amp;"Aptos"&amp;10&amp;K000000 Mott MacDonald Restricted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6C28-AE81-4389-B025-2C0E2C2751A0}">
  <dimension ref="A1:D29"/>
  <sheetViews>
    <sheetView tabSelected="1" topLeftCell="A5" workbookViewId="0">
      <selection activeCell="D29" sqref="D29"/>
    </sheetView>
  </sheetViews>
  <sheetFormatPr defaultRowHeight="14.5" x14ac:dyDescent="0.35"/>
  <cols>
    <col min="2" max="2" width="16.1796875" customWidth="1"/>
    <col min="3" max="3" width="23.81640625" customWidth="1"/>
    <col min="4" max="4" width="16.453125" customWidth="1"/>
  </cols>
  <sheetData>
    <row r="1" spans="1:4" ht="21" x14ac:dyDescent="0.5">
      <c r="A1" s="35" t="s">
        <v>146</v>
      </c>
    </row>
    <row r="3" spans="1:4" ht="15.5" x14ac:dyDescent="0.35">
      <c r="A3" s="5" t="s">
        <v>147</v>
      </c>
    </row>
    <row r="4" spans="1:4" ht="15.5" x14ac:dyDescent="0.35">
      <c r="A4" s="2" t="s">
        <v>113</v>
      </c>
    </row>
    <row r="5" spans="1:4" x14ac:dyDescent="0.35">
      <c r="B5" t="s">
        <v>149</v>
      </c>
      <c r="C5" t="s">
        <v>150</v>
      </c>
      <c r="D5" s="34">
        <f ca="1">TODAY()</f>
        <v>46009</v>
      </c>
    </row>
    <row r="6" spans="1:4" x14ac:dyDescent="0.35">
      <c r="B6" t="s">
        <v>148</v>
      </c>
      <c r="C6" t="s">
        <v>151</v>
      </c>
      <c r="D6" s="36">
        <f ca="1">NOW()</f>
        <v>46009.846287384258</v>
      </c>
    </row>
    <row r="8" spans="1:4" x14ac:dyDescent="0.35">
      <c r="A8" t="s">
        <v>152</v>
      </c>
    </row>
    <row r="9" spans="1:4" x14ac:dyDescent="0.35">
      <c r="A9" s="3" t="s">
        <v>113</v>
      </c>
    </row>
    <row r="10" spans="1:4" x14ac:dyDescent="0.35">
      <c r="B10" s="34">
        <v>45818</v>
      </c>
      <c r="C10" s="37">
        <f ca="1">B10-TODAY()</f>
        <v>-191</v>
      </c>
    </row>
    <row r="12" spans="1:4" x14ac:dyDescent="0.35">
      <c r="A12" t="s">
        <v>153</v>
      </c>
    </row>
    <row r="13" spans="1:4" x14ac:dyDescent="0.35">
      <c r="A13" s="3" t="s">
        <v>113</v>
      </c>
    </row>
    <row r="14" spans="1:4" x14ac:dyDescent="0.35">
      <c r="C14" s="36">
        <f ca="1">NOW()</f>
        <v>46009.846287384258</v>
      </c>
    </row>
    <row r="17" spans="1:3" x14ac:dyDescent="0.35">
      <c r="A17" t="s">
        <v>154</v>
      </c>
    </row>
    <row r="18" spans="1:3" x14ac:dyDescent="0.35">
      <c r="A18" s="3" t="s">
        <v>113</v>
      </c>
    </row>
    <row r="19" spans="1:3" x14ac:dyDescent="0.35">
      <c r="B19" t="s">
        <v>155</v>
      </c>
    </row>
    <row r="21" spans="1:3" x14ac:dyDescent="0.35">
      <c r="B21" t="s">
        <v>156</v>
      </c>
    </row>
    <row r="23" spans="1:3" x14ac:dyDescent="0.35">
      <c r="B23" t="s">
        <v>157</v>
      </c>
    </row>
    <row r="26" spans="1:3" x14ac:dyDescent="0.35">
      <c r="A26" t="s">
        <v>158</v>
      </c>
    </row>
    <row r="27" spans="1:3" x14ac:dyDescent="0.35">
      <c r="A27" s="3" t="s">
        <v>113</v>
      </c>
    </row>
    <row r="28" spans="1:3" x14ac:dyDescent="0.35">
      <c r="B28" t="s">
        <v>159</v>
      </c>
      <c r="C28" t="s">
        <v>160</v>
      </c>
    </row>
    <row r="29" spans="1:3" x14ac:dyDescent="0.35">
      <c r="C29" s="34">
        <v>46009</v>
      </c>
    </row>
  </sheetData>
  <pageMargins left="0.7" right="0.7" top="0.75" bottom="0.75" header="0.3" footer="0.3"/>
  <pageSetup paperSize="9" orientation="portrait" verticalDpi="0" r:id="rId1"/>
  <headerFooter>
    <oddFooter>&amp;C_x000D_&amp;1#&amp;"Aptos"&amp;10&amp;K000000 Mott MacDonald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>Ravi Grover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Grover</dc:creator>
  <cp:lastModifiedBy>Ravi Grover</cp:lastModifiedBy>
  <dcterms:created xsi:type="dcterms:W3CDTF">2025-12-16T13:14:02Z</dcterms:created>
  <dcterms:modified xsi:type="dcterms:W3CDTF">2025-12-18T14:49:17Z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2025-12-18T12:02:00Z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b78b9e87-95c2-4304-959e-f31796bb7d3d</vt:lpwstr>
  </property>
  <property fmtid="{D5CDD505-2E9C-101B-9397-08002B2CF9AE}" pid="8" name="MSIP_Label_f49efa9f-42fe-4312-9503-c89a219c0830_ContentBits">
    <vt:lpwstr>2</vt:lpwstr>
  </property>
  <property fmtid="{D5CDD505-2E9C-101B-9397-08002B2CF9AE}" pid="9" name="MSIP_Label_f49efa9f-42fe-4312-9503-c89a219c0830_Tag">
    <vt:lpwstr>10, 3, 0, 1</vt:lpwstr>
  </property>
</Properties>
</file>